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ohamed.akram.PARADIGM-EG\Desktop\"/>
    </mc:Choice>
  </mc:AlternateContent>
  <xr:revisionPtr revIDLastSave="0" documentId="13_ncr:1_{3C0E4DD6-F89B-47F8-A887-F3793821DDE0}" xr6:coauthVersionLast="47" xr6:coauthVersionMax="47" xr10:uidLastSave="{00000000-0000-0000-0000-000000000000}"/>
  <bookViews>
    <workbookView xWindow="-110" yWindow="-110" windowWidth="19420" windowHeight="10300" tabRatio="500" xr2:uid="{00000000-000D-0000-FFFF-FFFF00000000}"/>
  </bookViews>
  <sheets>
    <sheet name="Event Management Qu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78" i="1" l="1"/>
  <c r="G77" i="1"/>
  <c r="G69" i="1"/>
  <c r="G51" i="1"/>
  <c r="G81" i="1"/>
  <c r="G87" i="1"/>
  <c r="G86" i="1"/>
  <c r="G85" i="1"/>
  <c r="G79" i="1"/>
  <c r="G76" i="1"/>
  <c r="G75" i="1"/>
  <c r="G80" i="1"/>
  <c r="G74" i="1"/>
  <c r="G73" i="1"/>
  <c r="G70" i="1"/>
  <c r="G71" i="1"/>
  <c r="G72" i="1"/>
  <c r="G28" i="1"/>
  <c r="G29" i="1"/>
  <c r="G30" i="1"/>
  <c r="G68" i="1"/>
  <c r="G37" i="1"/>
  <c r="G53" i="1"/>
  <c r="G52" i="1"/>
  <c r="G50" i="1"/>
  <c r="G45" i="1"/>
  <c r="G44" i="1"/>
  <c r="G43" i="1"/>
  <c r="G42" i="1"/>
  <c r="G41" i="1"/>
  <c r="G32" i="1"/>
  <c r="G31" i="1"/>
  <c r="G27" i="1"/>
  <c r="G26" i="1"/>
  <c r="G25" i="1"/>
  <c r="G24" i="1"/>
  <c r="G20" i="1"/>
  <c r="G19" i="1"/>
  <c r="G18" i="1"/>
  <c r="G17" i="1"/>
  <c r="G16" i="1"/>
  <c r="G15" i="1"/>
  <c r="G14" i="1"/>
  <c r="G13" i="1"/>
  <c r="G12" i="1"/>
  <c r="G11" i="1"/>
  <c r="G10" i="1"/>
  <c r="G9" i="1"/>
  <c r="G33" i="1" l="1"/>
  <c r="G82" i="1"/>
  <c r="G88" i="1"/>
  <c r="G54" i="1"/>
  <c r="G38" i="1"/>
  <c r="G21" i="1"/>
  <c r="G46" i="1"/>
  <c r="G89" i="1" l="1"/>
  <c r="G56" i="1"/>
  <c r="G59" i="1" s="1"/>
  <c r="G60" i="1" s="1"/>
  <c r="G61" i="1" s="1"/>
  <c r="G62" i="1" l="1"/>
</calcChain>
</file>

<file path=xl/sharedStrings.xml><?xml version="1.0" encoding="utf-8"?>
<sst xmlns="http://schemas.openxmlformats.org/spreadsheetml/2006/main" count="224" uniqueCount="148">
  <si>
    <t>PARADIGM CAPITAL GROUP</t>
  </si>
  <si>
    <t>Event Management Quotation</t>
  </si>
  <si>
    <t>Audio Visual</t>
  </si>
  <si>
    <t>Item</t>
  </si>
  <si>
    <t>Description</t>
  </si>
  <si>
    <t>Unit</t>
  </si>
  <si>
    <t>Qty</t>
  </si>
  <si>
    <t>Days</t>
  </si>
  <si>
    <t>Unit Price</t>
  </si>
  <si>
    <t>Total</t>
  </si>
  <si>
    <t>LED Screen</t>
  </si>
  <si>
    <t>m²</t>
  </si>
  <si>
    <t>Light System</t>
  </si>
  <si>
    <t>System</t>
  </si>
  <si>
    <t>LCD Comfort Screen</t>
  </si>
  <si>
    <t>Screen</t>
  </si>
  <si>
    <t>Sound System &amp; Audio Mixer</t>
  </si>
  <si>
    <t>Bundle</t>
  </si>
  <si>
    <t>Panel Side Mics</t>
  </si>
  <si>
    <t>Microphone</t>
  </si>
  <si>
    <t>Wireless Hand-Held Mics</t>
  </si>
  <si>
    <t>Observers during open sessions</t>
  </si>
  <si>
    <t>Podium Mics</t>
  </si>
  <si>
    <t>Podium microphones</t>
  </si>
  <si>
    <t>Video Switcher &amp; Production Control</t>
  </si>
  <si>
    <t>Video Processor</t>
  </si>
  <si>
    <t>LED video processor / scaler</t>
  </si>
  <si>
    <t>Media Server</t>
  </si>
  <si>
    <t>Media server / playback (main hall)</t>
  </si>
  <si>
    <t>Presenter / Clicker</t>
  </si>
  <si>
    <t>Wireless presentation remote</t>
  </si>
  <si>
    <t>HDMI / Screen Distributor</t>
  </si>
  <si>
    <t>Signal distribution to screens</t>
  </si>
  <si>
    <t>Subtotal — MAIN PLENARY HALL — Audio Visual</t>
  </si>
  <si>
    <t>Lot</t>
  </si>
  <si>
    <t>Branding &amp; Equipment</t>
  </si>
  <si>
    <t>Stage Set Up (With branded face mask)</t>
  </si>
  <si>
    <t>Stage Production</t>
  </si>
  <si>
    <t>Stage backdrops · 3m W × 4m H each</t>
  </si>
  <si>
    <t>Backdrop</t>
  </si>
  <si>
    <t>Speaker Podium</t>
  </si>
  <si>
    <t>Branded wooden podium</t>
  </si>
  <si>
    <t>Podium</t>
  </si>
  <si>
    <t>Delegate Notepads &amp; Pens</t>
  </si>
  <si>
    <t>Set</t>
  </si>
  <si>
    <t>Side / center stairs for the stage</t>
  </si>
  <si>
    <t>VIP Stage Carpet / Moquette</t>
  </si>
  <si>
    <t>Premium moquette / VIP carpeting</t>
  </si>
  <si>
    <t>Stanchions / VIP Crowd Control</t>
  </si>
  <si>
    <t>Media Riser / Press Platform</t>
  </si>
  <si>
    <t>Raised platform for press / cameras (4m x 1m)</t>
  </si>
  <si>
    <t>Event Flowers &amp; Décor</t>
  </si>
  <si>
    <t>Event-wide floral and décor beyond head table</t>
  </si>
  <si>
    <t>Subtotal — MAIN PLENARY HALL — Branding &amp; Equipment</t>
  </si>
  <si>
    <t>Printer</t>
  </si>
  <si>
    <t>06 · REGISTRATION</t>
  </si>
  <si>
    <t>Multifunction Printers / Copiers</t>
  </si>
  <si>
    <t>Small laser MFP, USB</t>
  </si>
  <si>
    <t>Subtotal — REGISTRATION — Equipment &amp; IT</t>
  </si>
  <si>
    <t>Digital Posters</t>
  </si>
  <si>
    <t>Digital signage / poster screens (AV)</t>
  </si>
  <si>
    <t>Media Wall</t>
  </si>
  <si>
    <t>Branded media wall · 6m × 4m</t>
  </si>
  <si>
    <t>Group Photo Backdrop</t>
  </si>
  <si>
    <t>Branded group-photo backdrop 10m x 4m</t>
  </si>
  <si>
    <t>Photobooth</t>
  </si>
  <si>
    <t xml:space="preserve">Branded photobooth unit </t>
  </si>
  <si>
    <t>3D Mockup</t>
  </si>
  <si>
    <t>3D fabricated feature piece</t>
  </si>
  <si>
    <t>Wooden Display Stands</t>
  </si>
  <si>
    <t>Fabricated stands (Infinity) · double as directional/wayfinding</t>
  </si>
  <si>
    <t>Stand</t>
  </si>
  <si>
    <t>Branded Registration Desk</t>
  </si>
  <si>
    <t>Branded Registration Backdrop</t>
  </si>
  <si>
    <t>Registration backdrop</t>
  </si>
  <si>
    <t>Branded Entrance Feature</t>
  </si>
  <si>
    <t>Event entrance / gateway</t>
  </si>
  <si>
    <t>Subtotal — Shared Production &amp; Branding</t>
  </si>
  <si>
    <t>09 · MEDIA COVERAGE</t>
  </si>
  <si>
    <t>Photographer</t>
  </si>
  <si>
    <t>Session, social &amp; event photography</t>
  </si>
  <si>
    <t>Videographer</t>
  </si>
  <si>
    <t>Edited highlights video</t>
  </si>
  <si>
    <t>Video</t>
  </si>
  <si>
    <t>Subtotal — Media Coverage</t>
  </si>
  <si>
    <t>Person</t>
  </si>
  <si>
    <t>Logistics</t>
  </si>
  <si>
    <t>Equipment Transport</t>
  </si>
  <si>
    <t>Delivery &amp; collection of AV, interpretation &amp; production equipment; incl. customs/material handling</t>
  </si>
  <si>
    <t>Staff Transport</t>
  </si>
  <si>
    <t>Transport for Paradigm crew/staff</t>
  </si>
  <si>
    <t>Staff Accommodation</t>
  </si>
  <si>
    <t>Accommodation for Paradigm crew/staff</t>
  </si>
  <si>
    <t>Room Night</t>
  </si>
  <si>
    <t>Subtotal — LOGISTICS &amp; TRANSPORT — Logistics</t>
  </si>
  <si>
    <t>SUMMARY</t>
  </si>
  <si>
    <t>NET TOTAL</t>
  </si>
  <si>
    <t>Management Fee %</t>
  </si>
  <si>
    <t>VAT %</t>
  </si>
  <si>
    <t>Management Fee (15%)</t>
  </si>
  <si>
    <t>Subtotal (Net + Management Fee)</t>
  </si>
  <si>
    <t>VAT (14%)</t>
  </si>
  <si>
    <t>GRAND TOTAL</t>
  </si>
  <si>
    <t>OPTIONAL &amp; SUGGESTED  ·  available on request</t>
  </si>
  <si>
    <t>Subtotal — OPTIONAL &amp; SUGGESTED  ·  available on request</t>
  </si>
  <si>
    <t>Notepads + pens for 30 delegates QTY TBC</t>
  </si>
  <si>
    <t>01 · MAIN PLENARY HALL (SIA)</t>
  </si>
  <si>
    <t>PRODUCTION &amp; BRANDING</t>
  </si>
  <si>
    <t>11 · LOGISTICS &amp; TRANSPORTATION</t>
  </si>
  <si>
    <t>Welcome Gifts / Branded Giveaways</t>
  </si>
  <si>
    <t>Name Tags + Lanyards</t>
  </si>
  <si>
    <t>unit</t>
  </si>
  <si>
    <t>Promo Video</t>
  </si>
  <si>
    <t>UNIT</t>
  </si>
  <si>
    <t xml:space="preserve">Equipment &amp; IT </t>
  </si>
  <si>
    <t>Name Tags QTY TBC</t>
  </si>
  <si>
    <t xml:space="preserve">Wooden Floor </t>
  </si>
  <si>
    <t>Flooring / Wooden Flooring</t>
  </si>
  <si>
    <t>Branded counter</t>
  </si>
  <si>
    <t>Belt barriers</t>
  </si>
  <si>
    <t xml:space="preserve">Chairs </t>
  </si>
  <si>
    <t xml:space="preserve">Panel Chairs </t>
  </si>
  <si>
    <t xml:space="preserve">Side Tables </t>
  </si>
  <si>
    <t xml:space="preserve">Unit </t>
  </si>
  <si>
    <t xml:space="preserve">Beanded Beside Panel Chairs </t>
  </si>
  <si>
    <t xml:space="preserve">VIP Chairs </t>
  </si>
  <si>
    <t xml:space="preserve">VIP Chairs QTY TBD </t>
  </si>
  <si>
    <t>Panel Chairs on Stage QTY TBD</t>
  </si>
  <si>
    <t>Live Saxophone</t>
  </si>
  <si>
    <t>Live Band</t>
  </si>
  <si>
    <t>DJ Lounge</t>
  </si>
  <si>
    <t>For Entertainment Per Day</t>
  </si>
  <si>
    <t>Sectoral Diagnostics Report (SDR) Summit  ·  2026</t>
  </si>
  <si>
    <t xml:space="preserve">Generators </t>
  </si>
  <si>
    <t>Power / Generators 150kw</t>
  </si>
  <si>
    <t>Event videography 3 Fixed with 1 Ronin Camera Capturing High Light moment</t>
  </si>
  <si>
    <t>Professional Main Hall Audio System — Complete professional sound reinforcement system engineered for consistent, high-quality speech intelligibility and music coverage throughout the SIA main audience area, including main PA system, subwoofers, front fills, stage monitoring, digital FOH mixing console, stagebox, wireless microphone infrastructure, RF coordination, signal distribution, cabling and technical operation.</t>
  </si>
  <si>
    <t>Professional Stage &amp; Audience Lighting System — Complete intelligent lighting package designed for keynote presentations, panel discussions, fireside conversations and report-launch moments, including LED profiles, washes, moving fixtures, audience lighting, stage illumination, lighting control console, DMX distribution, rigging accessories, cabling and dedicated lighting operation.</t>
  </si>
  <si>
    <t>Live Presentation &amp; Data Visualization System — Professional presentation management and video-control infrastructure supporting keynote presentations, live polling, data visualization, playback content, screen management and integration with the Entlaq event-app data feed.</t>
  </si>
  <si>
    <t>Comfort Screens — 65" professional displays positioned for speaker and/or VIP visibility, supporting presentation content, speaker confidence and session monitoring.</t>
  </si>
  <si>
    <t>Main Audience Seating — Premium conference seating arrangement for approximately 500 delegates, including setup, positioning and venue coordination.</t>
  </si>
  <si>
    <t>Premium Branded Delegate Gift Set — Curated welcome gift set aligned with the SDR Summit identity, with final item selection, branding and quantities subject to client approval.</t>
  </si>
  <si>
    <t>Subtotal</t>
  </si>
  <si>
    <t>Panel microphones QTY TBC</t>
  </si>
  <si>
    <t>Main Stage Platform with Branded Face Mask — 14m × 4m raised stage platform with finished branded front fascia, integrated LED accent treatment and access stairs, designed to accommodate keynote, panel and fireside configurations.
Side / center stairs for the stage</t>
  </si>
  <si>
    <t>14m × 4m central LED/data wall, subject to final venue/site inspection.</t>
  </si>
  <si>
    <t>El Gouna · 10–12 Sep 2026 · ~500 delegates · EGP</t>
  </si>
  <si>
    <t>Please note that if a testing day is required, an additional 50% will be applied to the Audio-Visual. Production and visibility 
items will remain at the same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</si>
</sst>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 EGP&quot;;\-#,##0&quot; EGP&quot;;\—"/>
    <numFmt numFmtId="165" formatCode="0.0%"/>
  </numFmts>
  <fonts count="26" x14ac:knownFonts="1">
    <font>
      <sz val="11"/>
      <color theme="1"/>
      <name val="Calibri"/>
      <family val="2"/>
      <charset val="1"/>
    </font>
    <font>
      <b/>
      <sz val="18"/>
      <color rgb="FF00B4D8"/>
      <name val="Arial"/>
      <charset val="1"/>
    </font>
    <font>
      <b/>
      <sz val="12"/>
      <color rgb="FFFFFFFF"/>
      <name val="Arial"/>
      <charset val="1"/>
    </font>
    <font>
      <sz val="10"/>
      <color rgb="FFC7D3E0"/>
      <name val="Arial"/>
      <charset val="1"/>
    </font>
    <font>
      <sz val="9.5"/>
      <color rgb="FF00B4D8"/>
      <name val="Arial"/>
      <charset val="1"/>
    </font>
    <font>
      <b/>
      <sz val="12"/>
      <color rgb="FF00B4D8"/>
      <name val="Arial"/>
      <charset val="1"/>
    </font>
    <font>
      <b/>
      <sz val="10.5"/>
      <color rgb="FFFFFFFF"/>
      <name val="Arial"/>
      <charset val="1"/>
    </font>
    <font>
      <b/>
      <sz val="8.5"/>
      <color rgb="FFFFFFFF"/>
      <name val="Arial"/>
      <charset val="1"/>
    </font>
    <font>
      <sz val="9.5"/>
      <color rgb="FF1A1A1A"/>
      <name val="Arial"/>
      <charset val="1"/>
    </font>
    <font>
      <sz val="8.5"/>
      <color rgb="FF555555"/>
      <name val="Arial"/>
      <charset val="1"/>
    </font>
    <font>
      <sz val="9"/>
      <color rgb="FF1A1A1A"/>
      <name val="Arial"/>
      <charset val="1"/>
    </font>
    <font>
      <sz val="9"/>
      <color rgb="FF0000FF"/>
      <name val="Arial"/>
      <charset val="1"/>
    </font>
    <font>
      <b/>
      <sz val="9.5"/>
      <color rgb="FF1A1A1A"/>
      <name val="Arial"/>
      <charset val="1"/>
    </font>
    <font>
      <b/>
      <sz val="9.5"/>
      <color rgb="FF16304B"/>
      <name val="Arial"/>
      <charset val="1"/>
    </font>
    <font>
      <b/>
      <sz val="10"/>
      <color rgb="FF16304B"/>
      <name val="Arial"/>
      <charset val="1"/>
    </font>
    <font>
      <b/>
      <sz val="11"/>
      <color rgb="FFFFFFFF"/>
      <name val="Arial"/>
      <charset val="1"/>
    </font>
    <font>
      <b/>
      <sz val="9.5"/>
      <color rgb="FF0000FF"/>
      <name val="Arial"/>
      <charset val="1"/>
    </font>
    <font>
      <b/>
      <sz val="10.5"/>
      <color rgb="FF16304B"/>
      <name val="Arial"/>
      <charset val="1"/>
    </font>
    <font>
      <b/>
      <sz val="14"/>
      <color rgb="FF00B4D8"/>
      <name val="Arial"/>
      <charset val="1"/>
    </font>
    <font>
      <sz val="9.5"/>
      <color rgb="FF1A1A1A"/>
      <name val="Arial"/>
      <family val="2"/>
    </font>
    <font>
      <sz val="9"/>
      <color rgb="FF1A1A1A"/>
      <name val="Arial"/>
      <family val="2"/>
    </font>
    <font>
      <sz val="8.5"/>
      <color rgb="FF555555"/>
      <name val="Arial"/>
      <family val="2"/>
    </font>
    <font>
      <sz val="10"/>
      <color rgb="FFC7D3E0"/>
      <name val="Arial"/>
      <family val="2"/>
    </font>
    <font>
      <b/>
      <sz val="9.5"/>
      <color rgb="FF16304B"/>
      <name val="Arial"/>
      <family val="2"/>
    </font>
    <font>
      <sz val="9.5"/>
      <color rgb="FF00B4D8"/>
      <name val="Arial"/>
      <family val="2"/>
    </font>
    <font>
      <b/>
      <sz val="12"/>
      <color rgb="FFFF0000"/>
      <name val="Arial"/>
      <family val="2"/>
    </font>
  </fonts>
  <fills count="8">
    <fill>
      <patternFill patternType="none"/>
    </fill>
    <fill>
      <patternFill patternType="gray125"/>
    </fill>
    <fill>
      <patternFill patternType="solid">
        <fgColor rgb="FF0D1F35"/>
        <bgColor rgb="FF1A1A1A"/>
      </patternFill>
    </fill>
    <fill>
      <patternFill patternType="solid">
        <fgColor rgb="FF16304B"/>
        <bgColor rgb="FF0D1F35"/>
      </patternFill>
    </fill>
    <fill>
      <patternFill patternType="solid">
        <fgColor rgb="FFFFF6D8"/>
        <bgColor rgb="FFFFFFFF"/>
      </patternFill>
    </fill>
    <fill>
      <patternFill patternType="solid">
        <fgColor rgb="FFE7EDF3"/>
        <bgColor rgb="FFDCE6F0"/>
      </patternFill>
    </fill>
    <fill>
      <patternFill patternType="solid">
        <fgColor rgb="FFDCE6F0"/>
        <bgColor rgb="FFE7EDF3"/>
      </patternFill>
    </fill>
    <fill>
      <patternFill patternType="solid">
        <fgColor theme="0" tint="-0.14999847407452621"/>
        <bgColor rgb="FF1A1A1A"/>
      </patternFill>
    </fill>
  </fills>
  <borders count="11">
    <border>
      <left/>
      <right/>
      <top/>
      <bottom/>
      <diagonal/>
    </border>
    <border>
      <left style="thin">
        <color rgb="FFC7D3E0"/>
      </left>
      <right style="thin">
        <color rgb="FFC7D3E0"/>
      </right>
      <top style="thin">
        <color rgb="FFC7D3E0"/>
      </top>
      <bottom style="thin">
        <color rgb="FFC7D3E0"/>
      </bottom>
      <diagonal/>
    </border>
    <border>
      <left style="thin">
        <color rgb="FFC7D3E0"/>
      </left>
      <right/>
      <top style="thin">
        <color rgb="FFC7D3E0"/>
      </top>
      <bottom style="thin">
        <color rgb="FFC7D3E0"/>
      </bottom>
      <diagonal/>
    </border>
    <border>
      <left/>
      <right/>
      <top style="thin">
        <color rgb="FFC7D3E0"/>
      </top>
      <bottom style="thin">
        <color rgb="FFC7D3E0"/>
      </bottom>
      <diagonal/>
    </border>
    <border>
      <left/>
      <right style="thin">
        <color rgb="FFC7D3E0"/>
      </right>
      <top style="thin">
        <color rgb="FFC7D3E0"/>
      </top>
      <bottom style="thin">
        <color rgb="FFC7D3E0"/>
      </bottom>
      <diagonal/>
    </border>
    <border>
      <left style="thin">
        <color rgb="FFC7D3E0"/>
      </left>
      <right/>
      <top style="thin">
        <color rgb="FFC7D3E0"/>
      </top>
      <bottom/>
      <diagonal/>
    </border>
    <border>
      <left/>
      <right/>
      <top style="thin">
        <color rgb="FFC7D3E0"/>
      </top>
      <bottom/>
      <diagonal/>
    </border>
    <border>
      <left/>
      <right style="thin">
        <color rgb="FFC7D3E0"/>
      </right>
      <top style="thin">
        <color rgb="FFC7D3E0"/>
      </top>
      <bottom/>
      <diagonal/>
    </border>
    <border>
      <left style="thin">
        <color rgb="FFC7D3E0"/>
      </left>
      <right/>
      <top/>
      <bottom style="thin">
        <color rgb="FFC7D3E0"/>
      </bottom>
      <diagonal/>
    </border>
    <border>
      <left/>
      <right/>
      <top/>
      <bottom style="thin">
        <color rgb="FFC7D3E0"/>
      </bottom>
      <diagonal/>
    </border>
    <border>
      <left/>
      <right style="thin">
        <color rgb="FFC7D3E0"/>
      </right>
      <top/>
      <bottom style="thin">
        <color rgb="FFC7D3E0"/>
      </bottom>
      <diagonal/>
    </border>
  </borders>
  <cellStyleXfs count="1">
    <xf numFmtId="0" fontId="0" fillId="0" borderId="0"/>
  </cellStyleXfs>
  <cellXfs count="43">
    <xf numFmtId="0" fontId="0" fillId="0" borderId="0" xfId="0"/>
    <xf numFmtId="0" fontId="0" fillId="2" borderId="0" xfId="0" applyFill="1"/>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xf>
    <xf numFmtId="164" fontId="11" fillId="4" borderId="1" xfId="0" applyNumberFormat="1" applyFont="1" applyFill="1" applyBorder="1" applyAlignment="1">
      <alignment horizontal="right" vertical="center"/>
    </xf>
    <xf numFmtId="164" fontId="12" fillId="0" borderId="1" xfId="0" applyNumberFormat="1" applyFont="1" applyBorder="1" applyAlignment="1">
      <alignment horizontal="right" vertical="center"/>
    </xf>
    <xf numFmtId="164" fontId="14" fillId="5" borderId="1" xfId="0" applyNumberFormat="1" applyFont="1" applyFill="1" applyBorder="1" applyAlignment="1">
      <alignment horizontal="right" vertical="center"/>
    </xf>
    <xf numFmtId="0" fontId="0" fillId="0" borderId="1" xfId="0" applyBorder="1"/>
    <xf numFmtId="164" fontId="15" fillId="3" borderId="1" xfId="0" applyNumberFormat="1" applyFont="1" applyFill="1" applyBorder="1" applyAlignment="1">
      <alignment horizontal="right" vertical="center"/>
    </xf>
    <xf numFmtId="0" fontId="12" fillId="0" borderId="1" xfId="0" applyFont="1" applyBorder="1" applyAlignment="1">
      <alignment horizontal="left" vertical="center"/>
    </xf>
    <xf numFmtId="165" fontId="16" fillId="4" borderId="1" xfId="0" applyNumberFormat="1" applyFont="1" applyFill="1" applyBorder="1" applyAlignment="1">
      <alignment horizontal="center" vertical="center"/>
    </xf>
    <xf numFmtId="164" fontId="17" fillId="6" borderId="1" xfId="0" applyNumberFormat="1" applyFont="1" applyFill="1" applyBorder="1" applyAlignment="1">
      <alignment horizontal="right" vertical="center"/>
    </xf>
    <xf numFmtId="164" fontId="18" fillId="2" borderId="1" xfId="0" applyNumberFormat="1" applyFont="1" applyFill="1" applyBorder="1" applyAlignment="1">
      <alignment horizontal="right" vertical="center"/>
    </xf>
    <xf numFmtId="0" fontId="0" fillId="0" borderId="1" xfId="0" applyBorder="1" applyAlignment="1">
      <alignment horizontal="center" vertical="center"/>
    </xf>
    <xf numFmtId="0" fontId="19" fillId="0" borderId="1" xfId="0" applyFont="1" applyBorder="1" applyAlignment="1">
      <alignment horizontal="left" vertical="center" wrapText="1"/>
    </xf>
    <xf numFmtId="0" fontId="20" fillId="0" borderId="1" xfId="0" applyFont="1" applyBorder="1" applyAlignment="1">
      <alignment horizontal="center" vertical="center"/>
    </xf>
    <xf numFmtId="0" fontId="21" fillId="0" borderId="1" xfId="0" applyFont="1" applyBorder="1" applyAlignment="1">
      <alignment horizontal="left" vertical="center" wrapText="1"/>
    </xf>
    <xf numFmtId="0" fontId="13" fillId="5" borderId="1" xfId="0" applyFont="1" applyFill="1" applyBorder="1" applyAlignment="1">
      <alignment horizontal="right" vertical="center"/>
    </xf>
    <xf numFmtId="0" fontId="14" fillId="6" borderId="1" xfId="0" applyFont="1" applyFill="1" applyBorder="1" applyAlignment="1">
      <alignment horizontal="right" vertical="center"/>
    </xf>
    <xf numFmtId="0" fontId="5" fillId="2" borderId="1" xfId="0" applyFont="1" applyFill="1" applyBorder="1" applyAlignment="1">
      <alignment horizontal="center" vertical="center"/>
    </xf>
    <xf numFmtId="0" fontId="23" fillId="5" borderId="1" xfId="0" applyFont="1" applyFill="1" applyBorder="1" applyAlignment="1">
      <alignment horizontal="right"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6" fillId="3" borderId="1" xfId="0" applyFont="1" applyFill="1" applyBorder="1" applyAlignment="1">
      <alignment horizontal="right" vertical="center"/>
    </xf>
    <xf numFmtId="0" fontId="6" fillId="3" borderId="1" xfId="0" applyFont="1" applyFill="1" applyBorder="1" applyAlignment="1">
      <alignment horizontal="lef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22" fillId="2" borderId="0" xfId="0" applyFont="1" applyFill="1" applyAlignment="1">
      <alignment horizontal="center" vertical="center"/>
    </xf>
    <xf numFmtId="0" fontId="3" fillId="2" borderId="0" xfId="0" applyFont="1" applyFill="1" applyAlignment="1">
      <alignment horizontal="center" vertical="center"/>
    </xf>
    <xf numFmtId="0" fontId="24" fillId="2" borderId="0" xfId="0" applyFont="1" applyFill="1" applyAlignment="1">
      <alignment horizontal="center" vertical="center"/>
    </xf>
    <xf numFmtId="0" fontId="4" fillId="2" borderId="0" xfId="0" applyFont="1" applyFill="1" applyAlignment="1">
      <alignment horizontal="center" vertical="center"/>
    </xf>
    <xf numFmtId="0" fontId="25" fillId="7" borderId="5" xfId="0" applyFont="1" applyFill="1" applyBorder="1" applyAlignment="1">
      <alignment horizontal="center" vertical="center" wrapText="1"/>
    </xf>
    <xf numFmtId="0" fontId="25" fillId="7" borderId="6" xfId="0" applyFont="1" applyFill="1" applyBorder="1" applyAlignment="1">
      <alignment horizontal="center" vertical="center"/>
    </xf>
    <xf numFmtId="0" fontId="25" fillId="7" borderId="7" xfId="0" applyFont="1" applyFill="1" applyBorder="1" applyAlignment="1">
      <alignment horizontal="center" vertical="center"/>
    </xf>
    <xf numFmtId="0" fontId="25" fillId="7" borderId="8" xfId="0" applyFont="1" applyFill="1" applyBorder="1" applyAlignment="1">
      <alignment horizontal="center" vertical="center"/>
    </xf>
    <xf numFmtId="0" fontId="25" fillId="7" borderId="9" xfId="0" applyFont="1" applyFill="1" applyBorder="1" applyAlignment="1">
      <alignment horizontal="center" vertical="center"/>
    </xf>
    <xf numFmtId="0" fontId="25" fillId="7" borderId="10" xfId="0" applyFont="1" applyFill="1" applyBorder="1" applyAlignment="1">
      <alignment horizontal="center" vertical="center"/>
    </xf>
    <xf numFmtId="0" fontId="5" fillId="2" borderId="1" xfId="0" applyFont="1" applyFill="1" applyBorder="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8"/>
      <rgbColor rgb="FFE7EDF3"/>
      <rgbColor rgb="FF660066"/>
      <rgbColor rgb="FFFF8080"/>
      <rgbColor rgb="FF0066CC"/>
      <rgbColor rgb="FFC7D3E0"/>
      <rgbColor rgb="FF000080"/>
      <rgbColor rgb="FFFF00FF"/>
      <rgbColor rgb="FFFFFF00"/>
      <rgbColor rgb="FF00FFFF"/>
      <rgbColor rgb="FF800080"/>
      <rgbColor rgb="FF800000"/>
      <rgbColor rgb="FF008080"/>
      <rgbColor rgb="FF0000FF"/>
      <rgbColor rgb="FF00B4D8"/>
      <rgbColor rgb="FFDCE6F0"/>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6304B"/>
      <rgbColor rgb="FF339966"/>
      <rgbColor rgb="FF0D1F35"/>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732960</xdr:colOff>
      <xdr:row>3</xdr:row>
      <xdr:rowOff>75960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732960" cy="914040"/>
        </a:xfrm>
        <a:prstGeom prst="rect">
          <a:avLst/>
        </a:prstGeom>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89"/>
  <sheetViews>
    <sheetView showGridLines="0" tabSelected="1" zoomScaleNormal="100" workbookViewId="0">
      <pane ySplit="4" topLeftCell="A60" activePane="bottomLeft" state="frozen"/>
      <selection pane="bottomLeft" activeCell="A69" sqref="A69"/>
    </sheetView>
  </sheetViews>
  <sheetFormatPr defaultColWidth="8.6328125" defaultRowHeight="14.5" x14ac:dyDescent="0.35"/>
  <cols>
    <col min="1" max="1" width="32" customWidth="1"/>
    <col min="2" max="2" width="52" customWidth="1"/>
    <col min="3" max="3" width="11" customWidth="1"/>
    <col min="4" max="5" width="7" customWidth="1"/>
    <col min="6" max="6" width="15" customWidth="1"/>
    <col min="7" max="7" width="21.7265625" bestFit="1" customWidth="1"/>
  </cols>
  <sheetData>
    <row r="1" spans="1:7" ht="24" customHeight="1" x14ac:dyDescent="0.35">
      <c r="A1" s="1"/>
      <c r="B1" s="30" t="s">
        <v>0</v>
      </c>
      <c r="C1" s="30"/>
      <c r="D1" s="30"/>
      <c r="E1" s="30"/>
      <c r="F1" s="30"/>
      <c r="G1" s="30"/>
    </row>
    <row r="2" spans="1:7" ht="24" customHeight="1" x14ac:dyDescent="0.35">
      <c r="A2" s="1"/>
      <c r="B2" s="31" t="s">
        <v>1</v>
      </c>
      <c r="C2" s="31"/>
      <c r="D2" s="31"/>
      <c r="E2" s="31"/>
      <c r="F2" s="31"/>
      <c r="G2" s="31"/>
    </row>
    <row r="3" spans="1:7" ht="18" customHeight="1" x14ac:dyDescent="0.35">
      <c r="A3" s="1"/>
      <c r="B3" s="32" t="s">
        <v>132</v>
      </c>
      <c r="C3" s="33"/>
      <c r="D3" s="33"/>
      <c r="E3" s="33"/>
      <c r="F3" s="33"/>
      <c r="G3" s="33"/>
    </row>
    <row r="4" spans="1:7" ht="18" customHeight="1" x14ac:dyDescent="0.35">
      <c r="A4" s="1"/>
      <c r="B4" s="34" t="s">
        <v>146</v>
      </c>
      <c r="C4" s="35"/>
      <c r="D4" s="35"/>
      <c r="E4" s="35"/>
      <c r="F4" s="35"/>
      <c r="G4" s="35"/>
    </row>
    <row r="6" spans="1:7" ht="19.5" customHeight="1" x14ac:dyDescent="0.35">
      <c r="A6" s="23" t="s">
        <v>106</v>
      </c>
      <c r="B6" s="23"/>
      <c r="C6" s="23"/>
      <c r="D6" s="23"/>
      <c r="E6" s="23"/>
      <c r="F6" s="23"/>
      <c r="G6" s="23"/>
    </row>
    <row r="7" spans="1:7" ht="16.5" customHeight="1" x14ac:dyDescent="0.35">
      <c r="A7" s="29" t="s">
        <v>2</v>
      </c>
      <c r="B7" s="29"/>
      <c r="C7" s="29"/>
      <c r="D7" s="29"/>
      <c r="E7" s="29"/>
      <c r="F7" s="29"/>
      <c r="G7" s="29"/>
    </row>
    <row r="8" spans="1:7" ht="19.5" customHeight="1" x14ac:dyDescent="0.35">
      <c r="A8" s="2" t="s">
        <v>3</v>
      </c>
      <c r="B8" s="2" t="s">
        <v>4</v>
      </c>
      <c r="C8" s="3" t="s">
        <v>5</v>
      </c>
      <c r="D8" s="3" t="s">
        <v>6</v>
      </c>
      <c r="E8" s="3" t="s">
        <v>7</v>
      </c>
      <c r="F8" s="4" t="s">
        <v>8</v>
      </c>
      <c r="G8" s="4" t="s">
        <v>9</v>
      </c>
    </row>
    <row r="9" spans="1:7" ht="25.5" customHeight="1" x14ac:dyDescent="0.35">
      <c r="A9" s="5" t="s">
        <v>10</v>
      </c>
      <c r="B9" s="20" t="s">
        <v>145</v>
      </c>
      <c r="C9" s="7" t="s">
        <v>11</v>
      </c>
      <c r="D9" s="7">
        <v>56</v>
      </c>
      <c r="E9" s="7">
        <v>3</v>
      </c>
      <c r="F9" s="8">
        <v>1450</v>
      </c>
      <c r="G9" s="9">
        <f t="shared" ref="G9:G20" si="0">IF(OR(D9="",F9=""),0,D9*IF(E9="",1,E9)*F9)</f>
        <v>243600</v>
      </c>
    </row>
    <row r="10" spans="1:7" ht="66" x14ac:dyDescent="0.35">
      <c r="A10" s="5" t="s">
        <v>12</v>
      </c>
      <c r="B10" s="20" t="s">
        <v>137</v>
      </c>
      <c r="C10" s="7" t="s">
        <v>13</v>
      </c>
      <c r="D10" s="7">
        <v>1</v>
      </c>
      <c r="E10" s="7">
        <v>3</v>
      </c>
      <c r="F10" s="8">
        <v>150000</v>
      </c>
      <c r="G10" s="9">
        <f t="shared" si="0"/>
        <v>450000</v>
      </c>
    </row>
    <row r="11" spans="1:7" ht="33" x14ac:dyDescent="0.35">
      <c r="A11" s="5" t="s">
        <v>14</v>
      </c>
      <c r="B11" s="20" t="s">
        <v>139</v>
      </c>
      <c r="C11" s="7" t="s">
        <v>15</v>
      </c>
      <c r="D11" s="7">
        <v>2</v>
      </c>
      <c r="E11" s="7">
        <v>3</v>
      </c>
      <c r="F11" s="8">
        <v>4500</v>
      </c>
      <c r="G11" s="9">
        <f t="shared" si="0"/>
        <v>27000</v>
      </c>
    </row>
    <row r="12" spans="1:7" ht="66" x14ac:dyDescent="0.35">
      <c r="A12" s="5" t="s">
        <v>16</v>
      </c>
      <c r="B12" s="6" t="s">
        <v>136</v>
      </c>
      <c r="C12" s="7" t="s">
        <v>17</v>
      </c>
      <c r="D12" s="7">
        <v>1</v>
      </c>
      <c r="E12" s="7">
        <v>3</v>
      </c>
      <c r="F12" s="8">
        <v>100000</v>
      </c>
      <c r="G12" s="9">
        <f t="shared" si="0"/>
        <v>300000</v>
      </c>
    </row>
    <row r="13" spans="1:7" ht="25.5" customHeight="1" x14ac:dyDescent="0.35">
      <c r="A13" s="5" t="s">
        <v>18</v>
      </c>
      <c r="B13" s="20" t="s">
        <v>143</v>
      </c>
      <c r="C13" s="7" t="s">
        <v>19</v>
      </c>
      <c r="D13" s="7">
        <v>6</v>
      </c>
      <c r="E13" s="7">
        <v>3</v>
      </c>
      <c r="F13" s="8">
        <v>1200</v>
      </c>
      <c r="G13" s="9">
        <f t="shared" si="0"/>
        <v>21600</v>
      </c>
    </row>
    <row r="14" spans="1:7" ht="25.5" customHeight="1" x14ac:dyDescent="0.35">
      <c r="A14" s="5" t="s">
        <v>20</v>
      </c>
      <c r="B14" s="6" t="s">
        <v>21</v>
      </c>
      <c r="C14" s="7" t="s">
        <v>19</v>
      </c>
      <c r="D14" s="7">
        <v>4</v>
      </c>
      <c r="E14" s="7">
        <v>3</v>
      </c>
      <c r="F14" s="8">
        <v>1000</v>
      </c>
      <c r="G14" s="9">
        <f t="shared" si="0"/>
        <v>12000</v>
      </c>
    </row>
    <row r="15" spans="1:7" ht="25.5" customHeight="1" x14ac:dyDescent="0.35">
      <c r="A15" s="5" t="s">
        <v>22</v>
      </c>
      <c r="B15" s="6" t="s">
        <v>23</v>
      </c>
      <c r="C15" s="7" t="s">
        <v>19</v>
      </c>
      <c r="D15" s="7">
        <v>2</v>
      </c>
      <c r="E15" s="7">
        <v>3</v>
      </c>
      <c r="F15" s="8">
        <v>1000</v>
      </c>
      <c r="G15" s="9">
        <f t="shared" si="0"/>
        <v>6000</v>
      </c>
    </row>
    <row r="16" spans="1:7" ht="44" x14ac:dyDescent="0.35">
      <c r="A16" s="5" t="s">
        <v>24</v>
      </c>
      <c r="B16" s="20" t="s">
        <v>138</v>
      </c>
      <c r="C16" s="7" t="s">
        <v>13</v>
      </c>
      <c r="D16" s="7">
        <v>1</v>
      </c>
      <c r="E16" s="7">
        <v>3</v>
      </c>
      <c r="F16" s="8">
        <v>8000</v>
      </c>
      <c r="G16" s="9">
        <f t="shared" si="0"/>
        <v>24000</v>
      </c>
    </row>
    <row r="17" spans="1:7" ht="25.5" customHeight="1" x14ac:dyDescent="0.35">
      <c r="A17" s="5" t="s">
        <v>25</v>
      </c>
      <c r="B17" s="6" t="s">
        <v>26</v>
      </c>
      <c r="C17" s="7" t="s">
        <v>5</v>
      </c>
      <c r="D17" s="7">
        <v>1</v>
      </c>
      <c r="E17" s="7">
        <v>3</v>
      </c>
      <c r="F17" s="8">
        <v>7000</v>
      </c>
      <c r="G17" s="9">
        <f t="shared" si="0"/>
        <v>21000</v>
      </c>
    </row>
    <row r="18" spans="1:7" ht="25.5" customHeight="1" x14ac:dyDescent="0.35">
      <c r="A18" s="5" t="s">
        <v>27</v>
      </c>
      <c r="B18" s="6" t="s">
        <v>28</v>
      </c>
      <c r="C18" s="7" t="s">
        <v>13</v>
      </c>
      <c r="D18" s="7">
        <v>1</v>
      </c>
      <c r="E18" s="7">
        <v>3</v>
      </c>
      <c r="F18" s="8">
        <v>22500</v>
      </c>
      <c r="G18" s="9">
        <f t="shared" si="0"/>
        <v>67500</v>
      </c>
    </row>
    <row r="19" spans="1:7" ht="25.5" customHeight="1" x14ac:dyDescent="0.35">
      <c r="A19" s="5" t="s">
        <v>29</v>
      </c>
      <c r="B19" s="6" t="s">
        <v>30</v>
      </c>
      <c r="C19" s="7" t="s">
        <v>5</v>
      </c>
      <c r="D19" s="7">
        <v>1</v>
      </c>
      <c r="E19" s="7">
        <v>3</v>
      </c>
      <c r="F19" s="8">
        <v>1000</v>
      </c>
      <c r="G19" s="9">
        <f t="shared" si="0"/>
        <v>3000</v>
      </c>
    </row>
    <row r="20" spans="1:7" ht="25.5" customHeight="1" x14ac:dyDescent="0.35">
      <c r="A20" s="5" t="s">
        <v>31</v>
      </c>
      <c r="B20" s="6" t="s">
        <v>32</v>
      </c>
      <c r="C20" s="7" t="s">
        <v>5</v>
      </c>
      <c r="D20" s="7">
        <v>2</v>
      </c>
      <c r="E20" s="7">
        <v>3</v>
      </c>
      <c r="F20" s="8">
        <v>1800</v>
      </c>
      <c r="G20" s="9">
        <f t="shared" si="0"/>
        <v>10800</v>
      </c>
    </row>
    <row r="21" spans="1:7" ht="15" customHeight="1" x14ac:dyDescent="0.35">
      <c r="A21" s="21" t="s">
        <v>33</v>
      </c>
      <c r="B21" s="21"/>
      <c r="C21" s="21"/>
      <c r="D21" s="21"/>
      <c r="E21" s="21"/>
      <c r="F21" s="21"/>
      <c r="G21" s="10">
        <f>SUM(G9:G20)</f>
        <v>1186500</v>
      </c>
    </row>
    <row r="22" spans="1:7" ht="16.5" customHeight="1" x14ac:dyDescent="0.35">
      <c r="A22" s="29" t="s">
        <v>35</v>
      </c>
      <c r="B22" s="29"/>
      <c r="C22" s="29"/>
      <c r="D22" s="29"/>
      <c r="E22" s="29"/>
      <c r="F22" s="29"/>
      <c r="G22" s="29"/>
    </row>
    <row r="23" spans="1:7" ht="19.5" customHeight="1" x14ac:dyDescent="0.35">
      <c r="A23" s="2" t="s">
        <v>3</v>
      </c>
      <c r="B23" s="2" t="s">
        <v>45</v>
      </c>
      <c r="C23" s="3" t="s">
        <v>5</v>
      </c>
      <c r="D23" s="3" t="s">
        <v>6</v>
      </c>
      <c r="E23" s="3" t="s">
        <v>7</v>
      </c>
      <c r="F23" s="4" t="s">
        <v>8</v>
      </c>
      <c r="G23" s="4" t="s">
        <v>9</v>
      </c>
    </row>
    <row r="24" spans="1:7" ht="55" x14ac:dyDescent="0.35">
      <c r="A24" s="5" t="s">
        <v>36</v>
      </c>
      <c r="B24" s="20" t="s">
        <v>144</v>
      </c>
      <c r="C24" s="7" t="s">
        <v>11</v>
      </c>
      <c r="D24" s="7">
        <v>56</v>
      </c>
      <c r="E24" s="7">
        <v>3</v>
      </c>
      <c r="F24" s="8">
        <v>500</v>
      </c>
      <c r="G24" s="9">
        <f t="shared" ref="G24:G32" si="1">IF(OR(D24="",F24=""),0,D24*IF(E24="",1,E24)*F24)</f>
        <v>84000</v>
      </c>
    </row>
    <row r="25" spans="1:7" ht="25.5" customHeight="1" x14ac:dyDescent="0.35">
      <c r="A25" s="5" t="s">
        <v>37</v>
      </c>
      <c r="B25" s="6" t="s">
        <v>38</v>
      </c>
      <c r="C25" s="7" t="s">
        <v>39</v>
      </c>
      <c r="D25" s="7">
        <v>2</v>
      </c>
      <c r="E25" s="7">
        <v>1</v>
      </c>
      <c r="F25" s="8">
        <v>35000</v>
      </c>
      <c r="G25" s="9">
        <f t="shared" si="1"/>
        <v>70000</v>
      </c>
    </row>
    <row r="26" spans="1:7" ht="25.5" customHeight="1" x14ac:dyDescent="0.35">
      <c r="A26" s="5" t="s">
        <v>40</v>
      </c>
      <c r="B26" s="6" t="s">
        <v>41</v>
      </c>
      <c r="C26" s="7" t="s">
        <v>42</v>
      </c>
      <c r="D26" s="7">
        <v>1</v>
      </c>
      <c r="E26" s="7">
        <v>1</v>
      </c>
      <c r="F26" s="8">
        <v>6000</v>
      </c>
      <c r="G26" s="9">
        <f t="shared" si="1"/>
        <v>6000</v>
      </c>
    </row>
    <row r="27" spans="1:7" ht="33" x14ac:dyDescent="0.35">
      <c r="A27" s="5" t="s">
        <v>120</v>
      </c>
      <c r="B27" s="20" t="s">
        <v>140</v>
      </c>
      <c r="C27" s="7" t="s">
        <v>123</v>
      </c>
      <c r="D27" s="7">
        <v>500</v>
      </c>
      <c r="E27" s="7">
        <v>3</v>
      </c>
      <c r="F27" s="8">
        <v>250</v>
      </c>
      <c r="G27" s="9">
        <f t="shared" si="1"/>
        <v>375000</v>
      </c>
    </row>
    <row r="28" spans="1:7" ht="25.5" customHeight="1" x14ac:dyDescent="0.35">
      <c r="A28" s="5" t="s">
        <v>125</v>
      </c>
      <c r="B28" s="6" t="s">
        <v>126</v>
      </c>
      <c r="C28" s="7" t="s">
        <v>123</v>
      </c>
      <c r="D28" s="7">
        <v>20</v>
      </c>
      <c r="E28" s="7">
        <v>1</v>
      </c>
      <c r="F28" s="8">
        <v>1300</v>
      </c>
      <c r="G28" s="9">
        <f t="shared" si="1"/>
        <v>26000</v>
      </c>
    </row>
    <row r="29" spans="1:7" ht="25.5" customHeight="1" x14ac:dyDescent="0.35">
      <c r="A29" s="5" t="s">
        <v>121</v>
      </c>
      <c r="B29" s="6" t="s">
        <v>127</v>
      </c>
      <c r="C29" s="7" t="s">
        <v>123</v>
      </c>
      <c r="D29" s="7">
        <v>6</v>
      </c>
      <c r="E29" s="7">
        <v>3</v>
      </c>
      <c r="F29" s="8">
        <v>1000</v>
      </c>
      <c r="G29" s="9">
        <f t="shared" si="1"/>
        <v>18000</v>
      </c>
    </row>
    <row r="30" spans="1:7" ht="25.5" customHeight="1" x14ac:dyDescent="0.35">
      <c r="A30" s="5" t="s">
        <v>122</v>
      </c>
      <c r="B30" s="6" t="s">
        <v>124</v>
      </c>
      <c r="C30" s="7" t="s">
        <v>123</v>
      </c>
      <c r="D30" s="7">
        <v>6</v>
      </c>
      <c r="E30" s="7">
        <v>3</v>
      </c>
      <c r="F30" s="8">
        <v>850</v>
      </c>
      <c r="G30" s="9">
        <f t="shared" si="1"/>
        <v>15300</v>
      </c>
    </row>
    <row r="31" spans="1:7" ht="25.5" customHeight="1" x14ac:dyDescent="0.35">
      <c r="A31" s="5" t="s">
        <v>46</v>
      </c>
      <c r="B31" s="6" t="s">
        <v>47</v>
      </c>
      <c r="C31" s="7" t="s">
        <v>11</v>
      </c>
      <c r="D31" s="7">
        <v>65</v>
      </c>
      <c r="E31" s="7">
        <v>1</v>
      </c>
      <c r="F31" s="8">
        <v>450</v>
      </c>
      <c r="G31" s="9">
        <f t="shared" si="1"/>
        <v>29250</v>
      </c>
    </row>
    <row r="32" spans="1:7" ht="25.5" customHeight="1" x14ac:dyDescent="0.35">
      <c r="A32" s="5" t="s">
        <v>48</v>
      </c>
      <c r="B32" s="6" t="s">
        <v>119</v>
      </c>
      <c r="C32" s="7" t="s">
        <v>5</v>
      </c>
      <c r="D32" s="7">
        <v>30</v>
      </c>
      <c r="E32" s="7">
        <v>1</v>
      </c>
      <c r="F32" s="8">
        <v>200</v>
      </c>
      <c r="G32" s="9">
        <f t="shared" si="1"/>
        <v>6000</v>
      </c>
    </row>
    <row r="33" spans="1:7" ht="15" customHeight="1" x14ac:dyDescent="0.35">
      <c r="A33" s="21" t="s">
        <v>53</v>
      </c>
      <c r="B33" s="21"/>
      <c r="C33" s="21"/>
      <c r="D33" s="21"/>
      <c r="E33" s="21"/>
      <c r="F33" s="21"/>
      <c r="G33" s="10">
        <f>SUM(G24:G32)</f>
        <v>629550</v>
      </c>
    </row>
    <row r="34" spans="1:7" ht="19.5" customHeight="1" x14ac:dyDescent="0.35">
      <c r="A34" s="23" t="s">
        <v>55</v>
      </c>
      <c r="B34" s="23"/>
      <c r="C34" s="23"/>
      <c r="D34" s="23"/>
      <c r="E34" s="23"/>
      <c r="F34" s="23"/>
      <c r="G34" s="23"/>
    </row>
    <row r="35" spans="1:7" ht="16.5" customHeight="1" x14ac:dyDescent="0.35">
      <c r="A35" s="29" t="s">
        <v>114</v>
      </c>
      <c r="B35" s="29"/>
      <c r="C35" s="29"/>
      <c r="D35" s="29"/>
      <c r="E35" s="29"/>
      <c r="F35" s="29"/>
      <c r="G35" s="29"/>
    </row>
    <row r="36" spans="1:7" ht="19.5" customHeight="1" x14ac:dyDescent="0.35">
      <c r="A36" s="2" t="s">
        <v>3</v>
      </c>
      <c r="B36" s="2" t="s">
        <v>4</v>
      </c>
      <c r="C36" s="3" t="s">
        <v>5</v>
      </c>
      <c r="D36" s="3" t="s">
        <v>6</v>
      </c>
      <c r="E36" s="3" t="s">
        <v>7</v>
      </c>
      <c r="F36" s="4" t="s">
        <v>8</v>
      </c>
      <c r="G36" s="4" t="s">
        <v>9</v>
      </c>
    </row>
    <row r="37" spans="1:7" ht="25.5" customHeight="1" x14ac:dyDescent="0.35">
      <c r="A37" s="5" t="s">
        <v>110</v>
      </c>
      <c r="B37" s="6" t="s">
        <v>115</v>
      </c>
      <c r="C37" s="7" t="s">
        <v>111</v>
      </c>
      <c r="D37" s="7">
        <v>400</v>
      </c>
      <c r="E37" s="7">
        <v>1</v>
      </c>
      <c r="F37" s="8">
        <v>65</v>
      </c>
      <c r="G37" s="9">
        <f>IF(OR(D37="",F37=""),0,D37*IF(E37="",1,E37)*F37)</f>
        <v>26000</v>
      </c>
    </row>
    <row r="38" spans="1:7" ht="15" customHeight="1" x14ac:dyDescent="0.35">
      <c r="A38" s="21" t="s">
        <v>58</v>
      </c>
      <c r="B38" s="21"/>
      <c r="C38" s="21"/>
      <c r="D38" s="21"/>
      <c r="E38" s="21"/>
      <c r="F38" s="21"/>
      <c r="G38" s="10">
        <f>SUM(G37:G37)</f>
        <v>26000</v>
      </c>
    </row>
    <row r="39" spans="1:7" ht="19.5" customHeight="1" x14ac:dyDescent="0.35">
      <c r="A39" s="23" t="s">
        <v>107</v>
      </c>
      <c r="B39" s="23"/>
      <c r="C39" s="23"/>
      <c r="D39" s="23"/>
      <c r="E39" s="23"/>
      <c r="F39" s="23"/>
      <c r="G39" s="23"/>
    </row>
    <row r="40" spans="1:7" ht="19.5" customHeight="1" x14ac:dyDescent="0.35">
      <c r="A40" s="2" t="s">
        <v>3</v>
      </c>
      <c r="B40" s="2" t="s">
        <v>4</v>
      </c>
      <c r="C40" s="3" t="s">
        <v>5</v>
      </c>
      <c r="D40" s="3" t="s">
        <v>6</v>
      </c>
      <c r="E40" s="3" t="s">
        <v>7</v>
      </c>
      <c r="F40" s="4" t="s">
        <v>8</v>
      </c>
      <c r="G40" s="4" t="s">
        <v>9</v>
      </c>
    </row>
    <row r="41" spans="1:7" ht="25.5" customHeight="1" x14ac:dyDescent="0.35">
      <c r="A41" s="5" t="s">
        <v>61</v>
      </c>
      <c r="B41" s="6" t="s">
        <v>62</v>
      </c>
      <c r="C41" s="7" t="s">
        <v>5</v>
      </c>
      <c r="D41" s="7">
        <v>2</v>
      </c>
      <c r="E41" s="7">
        <v>1</v>
      </c>
      <c r="F41" s="8">
        <v>37000</v>
      </c>
      <c r="G41" s="9">
        <f t="shared" ref="G41:G45" si="2">IF(OR(D41="",F41=""),0,D41*IF(E41="",1,E41)*F41)</f>
        <v>74000</v>
      </c>
    </row>
    <row r="42" spans="1:7" ht="25.5" customHeight="1" x14ac:dyDescent="0.35">
      <c r="A42" s="5" t="s">
        <v>69</v>
      </c>
      <c r="B42" s="6" t="s">
        <v>70</v>
      </c>
      <c r="C42" s="7" t="s">
        <v>71</v>
      </c>
      <c r="D42" s="7">
        <v>8</v>
      </c>
      <c r="E42" s="7">
        <v>1</v>
      </c>
      <c r="F42" s="8">
        <v>4500</v>
      </c>
      <c r="G42" s="9">
        <f t="shared" si="2"/>
        <v>36000</v>
      </c>
    </row>
    <row r="43" spans="1:7" ht="25.5" customHeight="1" x14ac:dyDescent="0.35">
      <c r="A43" s="5" t="s">
        <v>72</v>
      </c>
      <c r="B43" s="6" t="s">
        <v>118</v>
      </c>
      <c r="C43" s="7" t="s">
        <v>5</v>
      </c>
      <c r="D43" s="7">
        <v>6</v>
      </c>
      <c r="E43" s="7">
        <v>1</v>
      </c>
      <c r="F43" s="8">
        <v>6500</v>
      </c>
      <c r="G43" s="9">
        <f t="shared" si="2"/>
        <v>39000</v>
      </c>
    </row>
    <row r="44" spans="1:7" ht="25.5" customHeight="1" x14ac:dyDescent="0.35">
      <c r="A44" s="5" t="s">
        <v>73</v>
      </c>
      <c r="B44" s="6" t="s">
        <v>74</v>
      </c>
      <c r="C44" s="7" t="s">
        <v>39</v>
      </c>
      <c r="D44" s="7">
        <v>1</v>
      </c>
      <c r="E44" s="7">
        <v>1</v>
      </c>
      <c r="F44" s="8">
        <v>35000</v>
      </c>
      <c r="G44" s="9">
        <f t="shared" si="2"/>
        <v>35000</v>
      </c>
    </row>
    <row r="45" spans="1:7" ht="25.5" customHeight="1" x14ac:dyDescent="0.35">
      <c r="A45" s="5" t="s">
        <v>75</v>
      </c>
      <c r="B45" s="6" t="s">
        <v>76</v>
      </c>
      <c r="C45" s="7" t="s">
        <v>5</v>
      </c>
      <c r="D45" s="7">
        <v>1</v>
      </c>
      <c r="E45" s="7">
        <v>1</v>
      </c>
      <c r="F45" s="8">
        <v>65000</v>
      </c>
      <c r="G45" s="9">
        <f t="shared" si="2"/>
        <v>65000</v>
      </c>
    </row>
    <row r="46" spans="1:7" ht="15" customHeight="1" x14ac:dyDescent="0.35">
      <c r="A46" s="21" t="s">
        <v>77</v>
      </c>
      <c r="B46" s="21"/>
      <c r="C46" s="21"/>
      <c r="D46" s="21"/>
      <c r="E46" s="21"/>
      <c r="F46" s="21"/>
      <c r="G46" s="10">
        <f>SUM(G41:G45)</f>
        <v>249000</v>
      </c>
    </row>
    <row r="47" spans="1:7" ht="19.5" customHeight="1" x14ac:dyDescent="0.35">
      <c r="A47" s="23" t="s">
        <v>108</v>
      </c>
      <c r="B47" s="23"/>
      <c r="C47" s="23"/>
      <c r="D47" s="23"/>
      <c r="E47" s="23"/>
      <c r="F47" s="23"/>
      <c r="G47" s="23"/>
    </row>
    <row r="48" spans="1:7" ht="16.5" customHeight="1" x14ac:dyDescent="0.35">
      <c r="A48" s="29" t="s">
        <v>86</v>
      </c>
      <c r="B48" s="29"/>
      <c r="C48" s="29"/>
      <c r="D48" s="29"/>
      <c r="E48" s="29"/>
      <c r="F48" s="29"/>
      <c r="G48" s="29"/>
    </row>
    <row r="49" spans="1:7" ht="19.5" customHeight="1" x14ac:dyDescent="0.35">
      <c r="A49" s="2" t="s">
        <v>3</v>
      </c>
      <c r="B49" s="2" t="s">
        <v>4</v>
      </c>
      <c r="C49" s="3" t="s">
        <v>5</v>
      </c>
      <c r="D49" s="3" t="s">
        <v>6</v>
      </c>
      <c r="E49" s="3" t="s">
        <v>7</v>
      </c>
      <c r="F49" s="4" t="s">
        <v>8</v>
      </c>
      <c r="G49" s="4" t="s">
        <v>9</v>
      </c>
    </row>
    <row r="50" spans="1:7" ht="25.5" customHeight="1" x14ac:dyDescent="0.35">
      <c r="A50" s="5" t="s">
        <v>87</v>
      </c>
      <c r="B50" s="6" t="s">
        <v>88</v>
      </c>
      <c r="C50" s="7" t="s">
        <v>34</v>
      </c>
      <c r="D50" s="7">
        <v>1</v>
      </c>
      <c r="E50" s="7">
        <v>1</v>
      </c>
      <c r="F50" s="8">
        <v>150000</v>
      </c>
      <c r="G50" s="9">
        <f>IF(OR(D50="",F50=""),0,D50*IF(E50="",1,E50)*F50)</f>
        <v>150000</v>
      </c>
    </row>
    <row r="51" spans="1:7" ht="25.5" customHeight="1" x14ac:dyDescent="0.35">
      <c r="A51" s="18" t="s">
        <v>133</v>
      </c>
      <c r="B51" s="20" t="s">
        <v>134</v>
      </c>
      <c r="C51" s="19" t="s">
        <v>5</v>
      </c>
      <c r="D51" s="7">
        <v>2</v>
      </c>
      <c r="E51" s="7">
        <v>3</v>
      </c>
      <c r="F51" s="8">
        <v>18000</v>
      </c>
      <c r="G51" s="9">
        <f>IF(OR(D51="",F51=""),0,D51*IF(E51="",1,E51)*F51)</f>
        <v>108000</v>
      </c>
    </row>
    <row r="52" spans="1:7" ht="25.5" customHeight="1" x14ac:dyDescent="0.35">
      <c r="A52" s="5" t="s">
        <v>89</v>
      </c>
      <c r="B52" s="6" t="s">
        <v>90</v>
      </c>
      <c r="C52" s="7" t="s">
        <v>34</v>
      </c>
      <c r="D52" s="7">
        <v>1</v>
      </c>
      <c r="E52" s="7">
        <v>1</v>
      </c>
      <c r="F52" s="8">
        <v>100000</v>
      </c>
      <c r="G52" s="9">
        <f>IF(OR(D52="",F52=""),0,D52*IF(E52="",1,E52)*F52)</f>
        <v>100000</v>
      </c>
    </row>
    <row r="53" spans="1:7" ht="25.5" customHeight="1" x14ac:dyDescent="0.35">
      <c r="A53" s="5" t="s">
        <v>91</v>
      </c>
      <c r="B53" s="6" t="s">
        <v>92</v>
      </c>
      <c r="C53" s="7" t="s">
        <v>93</v>
      </c>
      <c r="D53" s="7">
        <v>1</v>
      </c>
      <c r="E53" s="7">
        <v>1</v>
      </c>
      <c r="F53" s="8">
        <v>150000</v>
      </c>
      <c r="G53" s="9">
        <f>IF(OR(D53="",F53=""),0,D53*IF(E53="",1,E53)*F53)</f>
        <v>150000</v>
      </c>
    </row>
    <row r="54" spans="1:7" ht="15" customHeight="1" x14ac:dyDescent="0.35">
      <c r="A54" s="24" t="s">
        <v>94</v>
      </c>
      <c r="B54" s="21"/>
      <c r="C54" s="21"/>
      <c r="D54" s="21"/>
      <c r="E54" s="21"/>
      <c r="F54" s="21"/>
      <c r="G54" s="10">
        <f>SUM(G50:G53)</f>
        <v>508000</v>
      </c>
    </row>
    <row r="55" spans="1:7" ht="19.5" customHeight="1" x14ac:dyDescent="0.35">
      <c r="A55" s="23" t="s">
        <v>95</v>
      </c>
      <c r="B55" s="23"/>
      <c r="C55" s="23"/>
      <c r="D55" s="23"/>
      <c r="E55" s="23"/>
      <c r="F55" s="23"/>
      <c r="G55" s="23"/>
    </row>
    <row r="56" spans="1:7" ht="15" customHeight="1" x14ac:dyDescent="0.35">
      <c r="A56" s="28" t="s">
        <v>96</v>
      </c>
      <c r="B56" s="28"/>
      <c r="C56" s="28"/>
      <c r="D56" s="28"/>
      <c r="E56" s="28"/>
      <c r="F56" s="28"/>
      <c r="G56" s="12">
        <f>SUM(G21,G33,G38,G46,G54)</f>
        <v>2599050</v>
      </c>
    </row>
    <row r="57" spans="1:7" x14ac:dyDescent="0.35">
      <c r="A57" s="13" t="s">
        <v>97</v>
      </c>
      <c r="B57" s="14">
        <v>0.15</v>
      </c>
      <c r="C57" s="11"/>
      <c r="D57" s="11"/>
      <c r="E57" s="11"/>
      <c r="F57" s="11"/>
      <c r="G57" s="11"/>
    </row>
    <row r="58" spans="1:7" x14ac:dyDescent="0.35">
      <c r="A58" s="13" t="s">
        <v>98</v>
      </c>
      <c r="B58" s="14">
        <v>0.14000000000000001</v>
      </c>
      <c r="C58" s="11"/>
      <c r="D58" s="11"/>
      <c r="E58" s="11"/>
      <c r="F58" s="11"/>
      <c r="G58" s="11"/>
    </row>
    <row r="59" spans="1:7" ht="15" customHeight="1" x14ac:dyDescent="0.35">
      <c r="A59" s="22" t="s">
        <v>99</v>
      </c>
      <c r="B59" s="22"/>
      <c r="C59" s="22"/>
      <c r="D59" s="22"/>
      <c r="E59" s="22"/>
      <c r="F59" s="22"/>
      <c r="G59" s="15">
        <f>G56*$B$57</f>
        <v>389857.5</v>
      </c>
    </row>
    <row r="60" spans="1:7" ht="15" customHeight="1" x14ac:dyDescent="0.35">
      <c r="A60" s="22" t="s">
        <v>100</v>
      </c>
      <c r="B60" s="22"/>
      <c r="C60" s="22"/>
      <c r="D60" s="22"/>
      <c r="E60" s="22"/>
      <c r="F60" s="22"/>
      <c r="G60" s="15">
        <f>G56+G59</f>
        <v>2988907.5</v>
      </c>
    </row>
    <row r="61" spans="1:7" ht="15" customHeight="1" x14ac:dyDescent="0.35">
      <c r="A61" s="22" t="s">
        <v>101</v>
      </c>
      <c r="B61" s="22"/>
      <c r="C61" s="22"/>
      <c r="D61" s="22"/>
      <c r="E61" s="22"/>
      <c r="F61" s="22"/>
      <c r="G61" s="15">
        <f>G60*$B$58</f>
        <v>418447.05000000005</v>
      </c>
    </row>
    <row r="62" spans="1:7" ht="18" customHeight="1" x14ac:dyDescent="0.35">
      <c r="A62" s="42" t="s">
        <v>102</v>
      </c>
      <c r="B62" s="42"/>
      <c r="C62" s="42"/>
      <c r="D62" s="42"/>
      <c r="E62" s="42"/>
      <c r="F62" s="42"/>
      <c r="G62" s="16">
        <f>G60+G61</f>
        <v>3407354.55</v>
      </c>
    </row>
    <row r="63" spans="1:7" x14ac:dyDescent="0.35">
      <c r="A63" s="36" t="s">
        <v>147</v>
      </c>
      <c r="B63" s="37"/>
      <c r="C63" s="37"/>
      <c r="D63" s="37"/>
      <c r="E63" s="37"/>
      <c r="F63" s="37"/>
      <c r="G63" s="38"/>
    </row>
    <row r="64" spans="1:7" x14ac:dyDescent="0.35">
      <c r="A64" s="39"/>
      <c r="B64" s="40"/>
      <c r="C64" s="40"/>
      <c r="D64" s="40"/>
      <c r="E64" s="40"/>
      <c r="F64" s="40"/>
      <c r="G64" s="41"/>
    </row>
    <row r="65" spans="1:7" ht="19.5" customHeight="1" x14ac:dyDescent="0.35">
      <c r="A65" s="25"/>
      <c r="B65" s="26"/>
      <c r="C65" s="26"/>
      <c r="D65" s="26"/>
      <c r="E65" s="26"/>
      <c r="F65" s="26"/>
      <c r="G65" s="27"/>
    </row>
    <row r="66" spans="1:7" ht="19.5" customHeight="1" x14ac:dyDescent="0.35">
      <c r="A66" s="23" t="s">
        <v>103</v>
      </c>
      <c r="B66" s="23"/>
      <c r="C66" s="23"/>
      <c r="D66" s="23"/>
      <c r="E66" s="23"/>
      <c r="F66" s="23"/>
      <c r="G66" s="23"/>
    </row>
    <row r="67" spans="1:7" x14ac:dyDescent="0.35">
      <c r="A67" s="2" t="s">
        <v>3</v>
      </c>
      <c r="B67" s="2" t="s">
        <v>4</v>
      </c>
      <c r="C67" s="3" t="s">
        <v>5</v>
      </c>
      <c r="D67" s="3" t="s">
        <v>6</v>
      </c>
      <c r="E67" s="3" t="s">
        <v>7</v>
      </c>
      <c r="F67" s="4" t="s">
        <v>8</v>
      </c>
      <c r="G67" s="4" t="s">
        <v>9</v>
      </c>
    </row>
    <row r="68" spans="1:7" ht="33" x14ac:dyDescent="0.35">
      <c r="A68" s="5" t="s">
        <v>109</v>
      </c>
      <c r="B68" s="20" t="s">
        <v>141</v>
      </c>
      <c r="C68" s="7" t="s">
        <v>113</v>
      </c>
      <c r="D68" s="17">
        <v>300</v>
      </c>
      <c r="E68" s="17">
        <v>1</v>
      </c>
      <c r="F68" s="8">
        <v>2500</v>
      </c>
      <c r="G68" s="9">
        <f>IF(OR(D68="",F68=""),0,D68*IF(E68="",1,E68)*F68)</f>
        <v>750000</v>
      </c>
    </row>
    <row r="69" spans="1:7" ht="25.5" customHeight="1" x14ac:dyDescent="0.35">
      <c r="A69" s="5" t="s">
        <v>49</v>
      </c>
      <c r="B69" s="6" t="s">
        <v>50</v>
      </c>
      <c r="C69" s="7" t="s">
        <v>34</v>
      </c>
      <c r="D69" s="7">
        <v>1</v>
      </c>
      <c r="E69" s="7">
        <v>3</v>
      </c>
      <c r="F69" s="8">
        <v>6000</v>
      </c>
      <c r="G69" s="9">
        <f t="shared" ref="G69" si="3">IF(OR(D69="",F69=""),0,D69*IF(E69="",1,E69)*F69)</f>
        <v>18000</v>
      </c>
    </row>
    <row r="70" spans="1:7" ht="25.5" customHeight="1" x14ac:dyDescent="0.35">
      <c r="A70" s="18" t="s">
        <v>128</v>
      </c>
      <c r="B70" s="20" t="s">
        <v>131</v>
      </c>
      <c r="C70" s="19" t="s">
        <v>85</v>
      </c>
      <c r="D70" s="17">
        <v>1</v>
      </c>
      <c r="E70" s="17">
        <v>1</v>
      </c>
      <c r="F70" s="8">
        <v>55000</v>
      </c>
      <c r="G70" s="9">
        <f t="shared" ref="G70:G73" si="4">IF(OR(D70="",F70=""),0,D70*IF(E70="",1,E70)*F70)</f>
        <v>55000</v>
      </c>
    </row>
    <row r="71" spans="1:7" ht="25.5" customHeight="1" x14ac:dyDescent="0.35">
      <c r="A71" s="18" t="s">
        <v>129</v>
      </c>
      <c r="B71" s="20" t="s">
        <v>131</v>
      </c>
      <c r="C71" s="19" t="s">
        <v>85</v>
      </c>
      <c r="D71" s="17">
        <v>1</v>
      </c>
      <c r="E71" s="17">
        <v>1</v>
      </c>
      <c r="F71" s="8">
        <v>150000</v>
      </c>
      <c r="G71" s="9">
        <f t="shared" si="4"/>
        <v>150000</v>
      </c>
    </row>
    <row r="72" spans="1:7" ht="25.5" customHeight="1" x14ac:dyDescent="0.35">
      <c r="A72" s="18" t="s">
        <v>130</v>
      </c>
      <c r="B72" s="20" t="s">
        <v>131</v>
      </c>
      <c r="C72" s="19" t="s">
        <v>85</v>
      </c>
      <c r="D72" s="17">
        <v>1</v>
      </c>
      <c r="E72" s="17">
        <v>1</v>
      </c>
      <c r="F72" s="8">
        <v>80000</v>
      </c>
      <c r="G72" s="9">
        <f t="shared" si="4"/>
        <v>80000</v>
      </c>
    </row>
    <row r="73" spans="1:7" ht="25.5" customHeight="1" x14ac:dyDescent="0.35">
      <c r="A73" s="5" t="s">
        <v>43</v>
      </c>
      <c r="B73" s="6" t="s">
        <v>105</v>
      </c>
      <c r="C73" s="7" t="s">
        <v>44</v>
      </c>
      <c r="D73" s="7">
        <v>30</v>
      </c>
      <c r="E73" s="7">
        <v>1</v>
      </c>
      <c r="F73" s="8">
        <v>1000</v>
      </c>
      <c r="G73" s="9">
        <f t="shared" si="4"/>
        <v>30000</v>
      </c>
    </row>
    <row r="74" spans="1:7" ht="25.5" customHeight="1" x14ac:dyDescent="0.35">
      <c r="A74" s="5" t="s">
        <v>56</v>
      </c>
      <c r="B74" s="6" t="s">
        <v>57</v>
      </c>
      <c r="C74" s="7" t="s">
        <v>54</v>
      </c>
      <c r="D74" s="7">
        <v>2</v>
      </c>
      <c r="E74" s="7">
        <v>3</v>
      </c>
      <c r="F74" s="8">
        <v>3000</v>
      </c>
      <c r="G74" s="9">
        <f>IF(OR(D74="",F74=""),0,D74*IF(E74="",1,E74)*F74)</f>
        <v>18000</v>
      </c>
    </row>
    <row r="75" spans="1:7" ht="25.5" customHeight="1" x14ac:dyDescent="0.35">
      <c r="A75" s="5" t="s">
        <v>63</v>
      </c>
      <c r="B75" s="6" t="s">
        <v>64</v>
      </c>
      <c r="C75" s="7" t="s">
        <v>39</v>
      </c>
      <c r="D75" s="7">
        <v>1</v>
      </c>
      <c r="E75" s="7">
        <v>1</v>
      </c>
      <c r="F75" s="8">
        <v>64000</v>
      </c>
      <c r="G75" s="9">
        <f t="shared" ref="G75:G79" si="5">IF(OR(D75="",F75=""),0,D75*IF(E75="",1,E75)*F75)</f>
        <v>64000</v>
      </c>
    </row>
    <row r="76" spans="1:7" ht="25.5" customHeight="1" x14ac:dyDescent="0.35">
      <c r="A76" s="5" t="s">
        <v>65</v>
      </c>
      <c r="B76" s="6" t="s">
        <v>66</v>
      </c>
      <c r="C76" s="7" t="s">
        <v>5</v>
      </c>
      <c r="D76" s="7">
        <v>1</v>
      </c>
      <c r="E76" s="7">
        <v>1</v>
      </c>
      <c r="F76" s="8">
        <v>55000</v>
      </c>
      <c r="G76" s="9">
        <f t="shared" si="5"/>
        <v>55000</v>
      </c>
    </row>
    <row r="77" spans="1:7" ht="25.5" customHeight="1" x14ac:dyDescent="0.35">
      <c r="A77" s="5" t="s">
        <v>116</v>
      </c>
      <c r="B77" s="20" t="s">
        <v>117</v>
      </c>
      <c r="C77" s="7" t="s">
        <v>11</v>
      </c>
      <c r="D77" s="7">
        <v>150</v>
      </c>
      <c r="E77" s="7">
        <v>1</v>
      </c>
      <c r="F77" s="8">
        <v>150</v>
      </c>
      <c r="G77" s="9">
        <f t="shared" si="5"/>
        <v>22500</v>
      </c>
    </row>
    <row r="78" spans="1:7" ht="25.5" customHeight="1" x14ac:dyDescent="0.35">
      <c r="A78" s="5" t="s">
        <v>46</v>
      </c>
      <c r="B78" s="6" t="s">
        <v>47</v>
      </c>
      <c r="C78" s="7" t="s">
        <v>11</v>
      </c>
      <c r="D78" s="7">
        <v>65</v>
      </c>
      <c r="E78" s="7">
        <v>1</v>
      </c>
      <c r="F78" s="8">
        <v>450</v>
      </c>
      <c r="G78" s="9">
        <f t="shared" si="5"/>
        <v>29250</v>
      </c>
    </row>
    <row r="79" spans="1:7" ht="25.5" customHeight="1" x14ac:dyDescent="0.35">
      <c r="A79" s="5" t="s">
        <v>67</v>
      </c>
      <c r="B79" s="6" t="s">
        <v>68</v>
      </c>
      <c r="C79" s="7" t="s">
        <v>5</v>
      </c>
      <c r="D79" s="7">
        <v>1</v>
      </c>
      <c r="E79" s="7">
        <v>1</v>
      </c>
      <c r="F79" s="8">
        <v>40000</v>
      </c>
      <c r="G79" s="9">
        <f t="shared" si="5"/>
        <v>40000</v>
      </c>
    </row>
    <row r="80" spans="1:7" ht="25.5" customHeight="1" x14ac:dyDescent="0.35">
      <c r="A80" s="5" t="s">
        <v>59</v>
      </c>
      <c r="B80" s="6" t="s">
        <v>60</v>
      </c>
      <c r="C80" s="7" t="s">
        <v>5</v>
      </c>
      <c r="D80" s="7">
        <v>8</v>
      </c>
      <c r="E80" s="7">
        <v>3</v>
      </c>
      <c r="F80" s="8">
        <v>4500</v>
      </c>
      <c r="G80" s="9">
        <f t="shared" ref="G80:G81" si="6">IF(OR(D80="",F80=""),0,D80*IF(E80="",1,E80)*F80)</f>
        <v>108000</v>
      </c>
    </row>
    <row r="81" spans="1:7" ht="25.5" customHeight="1" x14ac:dyDescent="0.35">
      <c r="A81" s="5" t="s">
        <v>51</v>
      </c>
      <c r="B81" s="6" t="s">
        <v>52</v>
      </c>
      <c r="C81" s="7" t="s">
        <v>34</v>
      </c>
      <c r="D81" s="7">
        <v>1</v>
      </c>
      <c r="E81" s="7">
        <v>3</v>
      </c>
      <c r="F81" s="8">
        <v>20000</v>
      </c>
      <c r="G81" s="9">
        <f t="shared" si="6"/>
        <v>60000</v>
      </c>
    </row>
    <row r="82" spans="1:7" ht="15" customHeight="1" x14ac:dyDescent="0.35">
      <c r="A82" s="24" t="s">
        <v>142</v>
      </c>
      <c r="B82" s="21"/>
      <c r="C82" s="21"/>
      <c r="D82" s="21"/>
      <c r="E82" s="21"/>
      <c r="F82" s="21"/>
      <c r="G82" s="9">
        <f>SUM(G68:G81)</f>
        <v>1479750</v>
      </c>
    </row>
    <row r="83" spans="1:7" ht="15.5" x14ac:dyDescent="0.35">
      <c r="A83" s="23" t="s">
        <v>78</v>
      </c>
      <c r="B83" s="23"/>
      <c r="C83" s="23"/>
      <c r="D83" s="23"/>
      <c r="E83" s="23"/>
      <c r="F83" s="23"/>
      <c r="G83" s="23"/>
    </row>
    <row r="84" spans="1:7" x14ac:dyDescent="0.35">
      <c r="A84" s="2" t="s">
        <v>3</v>
      </c>
      <c r="B84" s="2" t="s">
        <v>4</v>
      </c>
      <c r="C84" s="3" t="s">
        <v>5</v>
      </c>
      <c r="D84" s="3" t="s">
        <v>6</v>
      </c>
      <c r="E84" s="3" t="s">
        <v>7</v>
      </c>
      <c r="F84" s="4" t="s">
        <v>8</v>
      </c>
      <c r="G84" s="4" t="s">
        <v>9</v>
      </c>
    </row>
    <row r="85" spans="1:7" x14ac:dyDescent="0.35">
      <c r="A85" s="5" t="s">
        <v>79</v>
      </c>
      <c r="B85" s="6" t="s">
        <v>80</v>
      </c>
      <c r="C85" s="7" t="s">
        <v>79</v>
      </c>
      <c r="D85" s="7">
        <v>3</v>
      </c>
      <c r="E85" s="7">
        <v>3</v>
      </c>
      <c r="F85" s="8">
        <v>9000</v>
      </c>
      <c r="G85" s="9">
        <f>IF(OR(D85="",F85=""),0,D85*IF(E85="",1,E85)*F85)</f>
        <v>81000</v>
      </c>
    </row>
    <row r="86" spans="1:7" ht="22" x14ac:dyDescent="0.35">
      <c r="A86" s="5" t="s">
        <v>81</v>
      </c>
      <c r="B86" s="20" t="s">
        <v>135</v>
      </c>
      <c r="C86" s="7" t="s">
        <v>81</v>
      </c>
      <c r="D86" s="7">
        <v>4</v>
      </c>
      <c r="E86" s="7">
        <v>3</v>
      </c>
      <c r="F86" s="8">
        <v>13500</v>
      </c>
      <c r="G86" s="9">
        <f>IF(OR(D86="",F86=""),0,D86*IF(E86="",1,E86)*F86)</f>
        <v>162000</v>
      </c>
    </row>
    <row r="87" spans="1:7" x14ac:dyDescent="0.35">
      <c r="A87" s="5" t="s">
        <v>112</v>
      </c>
      <c r="B87" s="6" t="s">
        <v>82</v>
      </c>
      <c r="C87" s="7" t="s">
        <v>83</v>
      </c>
      <c r="D87" s="7">
        <v>1</v>
      </c>
      <c r="E87" s="7">
        <v>3</v>
      </c>
      <c r="F87" s="8">
        <v>18000</v>
      </c>
      <c r="G87" s="9">
        <f>IF(OR(D87="",F87=""),0,D87*IF(E87="",1,E87)*F87)</f>
        <v>54000</v>
      </c>
    </row>
    <row r="88" spans="1:7" x14ac:dyDescent="0.35">
      <c r="A88" s="21" t="s">
        <v>84</v>
      </c>
      <c r="B88" s="21"/>
      <c r="C88" s="21"/>
      <c r="D88" s="21"/>
      <c r="E88" s="21"/>
      <c r="F88" s="21"/>
      <c r="G88" s="10">
        <f>SUM(G85:G87)</f>
        <v>297000</v>
      </c>
    </row>
    <row r="89" spans="1:7" x14ac:dyDescent="0.35">
      <c r="A89" s="21" t="s">
        <v>104</v>
      </c>
      <c r="B89" s="21"/>
      <c r="C89" s="21"/>
      <c r="D89" s="21"/>
      <c r="E89" s="21"/>
      <c r="F89" s="21"/>
      <c r="G89" s="10">
        <f>SUM(G82,G88)</f>
        <v>1776750</v>
      </c>
    </row>
  </sheetData>
  <mergeCells count="30">
    <mergeCell ref="A33:F33"/>
    <mergeCell ref="A7:G7"/>
    <mergeCell ref="A21:F21"/>
    <mergeCell ref="A22:G22"/>
    <mergeCell ref="B1:G1"/>
    <mergeCell ref="B2:G2"/>
    <mergeCell ref="B3:G3"/>
    <mergeCell ref="B4:G4"/>
    <mergeCell ref="A6:G6"/>
    <mergeCell ref="A47:G47"/>
    <mergeCell ref="A39:G39"/>
    <mergeCell ref="A46:F46"/>
    <mergeCell ref="A34:G34"/>
    <mergeCell ref="A35:G35"/>
    <mergeCell ref="A38:F38"/>
    <mergeCell ref="A55:G55"/>
    <mergeCell ref="A56:F56"/>
    <mergeCell ref="A59:F59"/>
    <mergeCell ref="A66:G66"/>
    <mergeCell ref="A48:G48"/>
    <mergeCell ref="A54:F54"/>
    <mergeCell ref="A63:G64"/>
    <mergeCell ref="A89:F89"/>
    <mergeCell ref="A60:F60"/>
    <mergeCell ref="A61:F61"/>
    <mergeCell ref="A62:F62"/>
    <mergeCell ref="A83:G83"/>
    <mergeCell ref="A88:F88"/>
    <mergeCell ref="A82:F82"/>
    <mergeCell ref="A65:G65"/>
  </mergeCells>
  <pageMargins left="0.3" right="0.3" top="0.4" bottom="0.4" header="0.511811023622047" footer="0.511811023622047"/>
  <pageSetup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 Management Quotation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Akram</cp:lastModifiedBy>
  <cp:revision>0</cp:revision>
  <dcterms:created xsi:type="dcterms:W3CDTF">2026-08-04T23:31:47Z</dcterms:created>
  <dcterms:modified xsi:type="dcterms:W3CDTF">2026-08-10T00:11:55Z</dcterms:modified>
  <dc:language>en-US</dc:language>
</cp:coreProperties>
</file>